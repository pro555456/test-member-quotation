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桌面2\"/>
    </mc:Choice>
  </mc:AlternateContent>
  <xr:revisionPtr revIDLastSave="0" documentId="13_ncr:1_{31F792E6-1C0B-406F-8B71-FDE31569161D}" xr6:coauthVersionLast="47" xr6:coauthVersionMax="47" xr10:uidLastSave="{00000000-0000-0000-0000-000000000000}"/>
  <bookViews>
    <workbookView xWindow="30" yWindow="30" windowWidth="28770" windowHeight="15450" xr2:uid="{00000000-000D-0000-FFFF-FFFF00000000}"/>
  </bookViews>
  <sheets>
    <sheet name="202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3" l="1"/>
  <c r="N9" i="3"/>
  <c r="G9" i="3"/>
  <c r="H9" i="3"/>
  <c r="F9" i="3"/>
  <c r="P8" i="3"/>
  <c r="P7" i="3"/>
  <c r="P6" i="3"/>
  <c r="P5" i="3"/>
  <c r="P4" i="3"/>
  <c r="P9" i="3" s="1"/>
</calcChain>
</file>

<file path=xl/sharedStrings.xml><?xml version="1.0" encoding="utf-8"?>
<sst xmlns="http://schemas.openxmlformats.org/spreadsheetml/2006/main" count="39" uniqueCount="36">
  <si>
    <t>云佳數位</t>
    <phoneticPr fontId="3" type="noConversion"/>
  </si>
  <si>
    <t>廠商:鑒真</t>
    <phoneticPr fontId="3" type="noConversion"/>
  </si>
  <si>
    <t>報價單
日期</t>
    <phoneticPr fontId="3" type="noConversion"/>
  </si>
  <si>
    <t>客戶
訂單編號</t>
    <phoneticPr fontId="3" type="noConversion"/>
  </si>
  <si>
    <t>客戶
名稱</t>
    <phoneticPr fontId="3" type="noConversion"/>
  </si>
  <si>
    <t>申購內容
APP檢測服務(IP流向檢測)</t>
    <phoneticPr fontId="3" type="noConversion"/>
  </si>
  <si>
    <t>檢測項目</t>
    <phoneticPr fontId="3" type="noConversion"/>
  </si>
  <si>
    <t>客戶用印
回簽日期</t>
    <phoneticPr fontId="3" type="noConversion"/>
  </si>
  <si>
    <t>備註</t>
    <phoneticPr fontId="3" type="noConversion"/>
  </si>
  <si>
    <t>訂單編號</t>
    <phoneticPr fontId="3" type="noConversion"/>
  </si>
  <si>
    <t>數量</t>
    <phoneticPr fontId="3" type="noConversion"/>
  </si>
  <si>
    <t>單價
(未稅)</t>
    <phoneticPr fontId="3" type="noConversion"/>
  </si>
  <si>
    <t>總計
(未稅)</t>
    <phoneticPr fontId="3" type="noConversion"/>
  </si>
  <si>
    <t>結案
日期</t>
    <phoneticPr fontId="3" type="noConversion"/>
  </si>
  <si>
    <t>易亨</t>
    <phoneticPr fontId="3" type="noConversion"/>
  </si>
  <si>
    <t>沛羽</t>
    <phoneticPr fontId="3" type="noConversion"/>
  </si>
  <si>
    <t>玩客</t>
    <phoneticPr fontId="3" type="noConversion"/>
  </si>
  <si>
    <t>魔法屋</t>
  </si>
  <si>
    <t>報告主公：前方有糧草</t>
    <phoneticPr fontId="3" type="noConversion"/>
  </si>
  <si>
    <t>HAN2025010703</t>
    <phoneticPr fontId="3" type="noConversion"/>
  </si>
  <si>
    <t>WI114010701a</t>
    <phoneticPr fontId="3" type="noConversion"/>
  </si>
  <si>
    <t>我獨自成仙</t>
    <phoneticPr fontId="3" type="noConversion"/>
  </si>
  <si>
    <t>WI114020401a</t>
    <phoneticPr fontId="3" type="noConversion"/>
  </si>
  <si>
    <t>HAN2025020402</t>
    <phoneticPr fontId="3" type="noConversion"/>
  </si>
  <si>
    <t>星痕共鳴</t>
    <phoneticPr fontId="3" type="noConversion"/>
  </si>
  <si>
    <t>WI114020701a</t>
    <phoneticPr fontId="3" type="noConversion"/>
  </si>
  <si>
    <t>WI114020702a</t>
    <phoneticPr fontId="3" type="noConversion"/>
  </si>
  <si>
    <t>星塔旅人</t>
    <phoneticPr fontId="3" type="noConversion"/>
  </si>
  <si>
    <t>HAN2025021001</t>
    <phoneticPr fontId="3" type="noConversion"/>
  </si>
  <si>
    <t>HAN2025021002</t>
    <phoneticPr fontId="3" type="noConversion"/>
  </si>
  <si>
    <t>WI114021001a</t>
    <phoneticPr fontId="3" type="noConversion"/>
  </si>
  <si>
    <t>HAN2025061701</t>
    <phoneticPr fontId="3" type="noConversion"/>
  </si>
  <si>
    <t>ios</t>
    <phoneticPr fontId="3" type="noConversion"/>
  </si>
  <si>
    <t>android</t>
    <phoneticPr fontId="3" type="noConversion"/>
  </si>
  <si>
    <t>Web</t>
    <phoneticPr fontId="3" type="noConversion"/>
  </si>
  <si>
    <t>其它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</si>
</sst>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[$-404]e/m/d;@"/>
    <numFmt numFmtId="177" formatCode="_-* #,##0_-;\-* #,##0_-;_-* &quot;-&quot;??_-;_-@_-"/>
  </numFmts>
  <fonts count="11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7"/>
      <color theme="1"/>
      <name val="新細明體"/>
      <family val="1"/>
      <charset val="136"/>
      <scheme val="minor"/>
    </font>
    <font>
      <sz val="7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4"/>
      <color theme="1"/>
      <name val="新細明體"/>
      <family val="2"/>
      <charset val="136"/>
      <scheme val="minor"/>
    </font>
    <font>
      <u/>
      <sz val="12"/>
      <color indexed="12"/>
      <name val="新細明體"/>
      <family val="1"/>
      <charset val="136"/>
    </font>
    <font>
      <sz val="12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4" fillId="3" borderId="0" xfId="0" applyNumberFormat="1" applyFont="1" applyFill="1"/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6" fontId="5" fillId="3" borderId="0" xfId="0" applyNumberFormat="1" applyFont="1" applyFill="1" applyAlignment="1">
      <alignment horizontal="left" vertical="top"/>
    </xf>
    <xf numFmtId="176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6" fontId="6" fillId="5" borderId="1" xfId="0" applyNumberFormat="1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center" vertical="center"/>
    </xf>
    <xf numFmtId="177" fontId="2" fillId="5" borderId="1" xfId="1" applyNumberFormat="1" applyFont="1" applyFill="1" applyBorder="1" applyAlignment="1">
      <alignment vertical="center"/>
    </xf>
    <xf numFmtId="176" fontId="2" fillId="5" borderId="5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176" fontId="6" fillId="5" borderId="5" xfId="0" applyNumberFormat="1" applyFont="1" applyFill="1" applyBorder="1" applyAlignment="1">
      <alignment horizontal="left" vertical="top"/>
    </xf>
    <xf numFmtId="176" fontId="2" fillId="5" borderId="7" xfId="0" applyNumberFormat="1" applyFont="1" applyFill="1" applyBorder="1" applyAlignment="1">
      <alignment horizontal="center" vertical="center"/>
    </xf>
    <xf numFmtId="177" fontId="2" fillId="5" borderId="5" xfId="1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176" fontId="6" fillId="5" borderId="0" xfId="0" applyNumberFormat="1" applyFont="1" applyFill="1" applyAlignment="1">
      <alignment horizontal="left" vertical="top"/>
    </xf>
    <xf numFmtId="177" fontId="2" fillId="5" borderId="0" xfId="1" applyNumberFormat="1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76" fontId="6" fillId="3" borderId="0" xfId="0" applyNumberFormat="1" applyFont="1" applyFill="1" applyAlignment="1">
      <alignment horizontal="left" vertical="top"/>
    </xf>
    <xf numFmtId="177" fontId="2" fillId="3" borderId="0" xfId="1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center"/>
    </xf>
    <xf numFmtId="176" fontId="4" fillId="2" borderId="9" xfId="0" applyNumberFormat="1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76" fontId="4" fillId="2" borderId="8" xfId="0" applyNumberFormat="1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177" fontId="4" fillId="4" borderId="8" xfId="1" applyNumberFormat="1" applyFont="1" applyFill="1" applyBorder="1" applyAlignment="1">
      <alignment horizontal="center" vertical="center" wrapText="1"/>
    </xf>
    <xf numFmtId="177" fontId="4" fillId="4" borderId="5" xfId="1" applyNumberFormat="1" applyFont="1" applyFill="1" applyBorder="1" applyAlignment="1">
      <alignment horizontal="center" vertical="center" wrapText="1"/>
    </xf>
    <xf numFmtId="176" fontId="4" fillId="4" borderId="8" xfId="0" applyNumberFormat="1" applyFont="1" applyFill="1" applyBorder="1" applyAlignment="1">
      <alignment horizontal="center" vertical="center" wrapText="1"/>
    </xf>
    <xf numFmtId="176" fontId="4" fillId="4" borderId="5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6" fontId="4" fillId="4" borderId="2" xfId="0" applyNumberFormat="1" applyFont="1" applyFill="1" applyBorder="1" applyAlignment="1">
      <alignment horizontal="center" vertical="center"/>
    </xf>
    <xf numFmtId="176" fontId="4" fillId="4" borderId="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4" fillId="4" borderId="8" xfId="0" applyFont="1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 shrinkToFit="1"/>
    </xf>
    <xf numFmtId="177" fontId="4" fillId="4" borderId="8" xfId="1" applyNumberFormat="1" applyFont="1" applyFill="1" applyBorder="1" applyAlignment="1">
      <alignment horizontal="center" vertical="center"/>
    </xf>
    <xf numFmtId="177" fontId="4" fillId="4" borderId="5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6">
    <cellStyle name="0,0_x000d__x000a_NA_x000d__x000a_" xfId="5" xr:uid="{24C97295-57E8-48FD-B2F5-6A3C5AD03E05}"/>
    <cellStyle name="一般" xfId="0" builtinId="0"/>
    <cellStyle name="一般 2" xfId="2" xr:uid="{D3ED162A-3A7E-4508-9993-331835A449F6}"/>
    <cellStyle name="一般 3" xfId="3" xr:uid="{63896254-A02F-48A9-869A-CAB3A1B6FA52}"/>
    <cellStyle name="千分位" xfId="1" builtinId="3"/>
    <cellStyle name="超連結 2" xfId="4" xr:uid="{CB28DEE6-1E36-475B-970F-E2E66EB7EE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12A7-E935-4A7B-8A03-65F6DA9D6706}">
  <dimension ref="A1:Q10"/>
  <sheetViews>
    <sheetView tabSelected="1" zoomScaleNormal="100" workbookViewId="0">
      <pane ySplit="3" topLeftCell="A4" activePane="bottomLeft" state="frozen"/>
      <selection pane="bottomLeft" activeCell="E17" sqref="E17"/>
    </sheetView>
  </sheetViews>
  <sheetFormatPr defaultColWidth="9.28515625" defaultRowHeight="20.100000000000001" customHeight="1" x14ac:dyDescent="0.25"/>
  <cols>
    <col min="1" max="1" width="3.42578125" style="2" bestFit="1" customWidth="1"/>
    <col min="2" max="2" width="9.42578125" style="2" bestFit="1" customWidth="1"/>
    <col min="3" max="3" width="14.28515625" style="2" bestFit="1" customWidth="1"/>
    <col min="4" max="4" width="8.5703125" style="2" customWidth="1"/>
    <col min="5" max="5" width="36.7109375" style="3" customWidth="1"/>
    <col min="6" max="9" width="7.42578125" style="34" customWidth="1"/>
    <col min="10" max="10" width="10.7109375" style="4" bestFit="1" customWidth="1"/>
    <col min="11" max="11" width="17.42578125" style="7" customWidth="1"/>
    <col min="12" max="12" width="9.42578125" style="5" bestFit="1" customWidth="1"/>
    <col min="13" max="13" width="16.5703125" style="2" bestFit="1" customWidth="1"/>
    <col min="14" max="14" width="7.7109375" style="2" bestFit="1" customWidth="1"/>
    <col min="15" max="15" width="8.28515625" style="1" bestFit="1" customWidth="1"/>
    <col min="16" max="16" width="14.5703125" style="1" bestFit="1" customWidth="1"/>
    <col min="17" max="17" width="8.7109375" style="6" customWidth="1"/>
    <col min="18" max="16384" width="9.28515625" style="1"/>
  </cols>
  <sheetData>
    <row r="1" spans="1:17" ht="20.100000000000001" customHeight="1" x14ac:dyDescent="0.25">
      <c r="A1" s="61"/>
      <c r="B1" s="60" t="s">
        <v>0</v>
      </c>
      <c r="C1" s="48"/>
      <c r="D1" s="48"/>
      <c r="E1" s="48"/>
      <c r="F1" s="48"/>
      <c r="G1" s="48"/>
      <c r="H1" s="48"/>
      <c r="I1" s="48"/>
      <c r="J1" s="48"/>
      <c r="K1" s="48"/>
      <c r="L1" s="49" t="s">
        <v>1</v>
      </c>
      <c r="M1" s="49"/>
      <c r="N1" s="49"/>
      <c r="O1" s="49"/>
      <c r="P1" s="49"/>
      <c r="Q1" s="50"/>
    </row>
    <row r="2" spans="1:17" s="37" customFormat="1" ht="30.75" customHeight="1" thickBot="1" x14ac:dyDescent="0.3">
      <c r="A2" s="62"/>
      <c r="B2" s="38" t="s">
        <v>2</v>
      </c>
      <c r="C2" s="54" t="s">
        <v>3</v>
      </c>
      <c r="D2" s="40" t="s">
        <v>4</v>
      </c>
      <c r="E2" s="40" t="s">
        <v>5</v>
      </c>
      <c r="F2" s="51" t="s">
        <v>6</v>
      </c>
      <c r="G2" s="52"/>
      <c r="H2" s="52"/>
      <c r="I2" s="53"/>
      <c r="J2" s="42" t="s">
        <v>7</v>
      </c>
      <c r="K2" s="42" t="s">
        <v>8</v>
      </c>
      <c r="L2" s="46" t="s">
        <v>2</v>
      </c>
      <c r="M2" s="56" t="s">
        <v>9</v>
      </c>
      <c r="N2" s="58" t="s">
        <v>10</v>
      </c>
      <c r="O2" s="44" t="s">
        <v>11</v>
      </c>
      <c r="P2" s="44" t="s">
        <v>12</v>
      </c>
      <c r="Q2" s="46" t="s">
        <v>13</v>
      </c>
    </row>
    <row r="3" spans="1:17" s="37" customFormat="1" ht="24" customHeight="1" x14ac:dyDescent="0.25">
      <c r="A3" s="63"/>
      <c r="B3" s="39"/>
      <c r="C3" s="55"/>
      <c r="D3" s="41"/>
      <c r="E3" s="41"/>
      <c r="F3" s="20" t="s">
        <v>32</v>
      </c>
      <c r="G3" s="20" t="s">
        <v>33</v>
      </c>
      <c r="H3" s="20" t="s">
        <v>34</v>
      </c>
      <c r="I3" s="20" t="s">
        <v>35</v>
      </c>
      <c r="J3" s="43"/>
      <c r="K3" s="43"/>
      <c r="L3" s="47"/>
      <c r="M3" s="57"/>
      <c r="N3" s="59"/>
      <c r="O3" s="45"/>
      <c r="P3" s="45"/>
      <c r="Q3" s="47"/>
    </row>
    <row r="4" spans="1:17" ht="20.100000000000001" customHeight="1" x14ac:dyDescent="0.25">
      <c r="A4" s="9">
        <v>1</v>
      </c>
      <c r="B4" s="8">
        <v>45664</v>
      </c>
      <c r="C4" s="9" t="s">
        <v>20</v>
      </c>
      <c r="D4" s="9" t="s">
        <v>16</v>
      </c>
      <c r="E4" s="10" t="s">
        <v>18</v>
      </c>
      <c r="F4" s="31">
        <v>1</v>
      </c>
      <c r="G4" s="31">
        <v>1</v>
      </c>
      <c r="H4" s="31"/>
      <c r="I4" s="31"/>
      <c r="J4" s="8">
        <v>45667</v>
      </c>
      <c r="K4" s="11"/>
      <c r="L4" s="8">
        <v>45664</v>
      </c>
      <c r="M4" s="9" t="s">
        <v>19</v>
      </c>
      <c r="N4" s="9">
        <v>2</v>
      </c>
      <c r="O4" s="13">
        <v>14000</v>
      </c>
      <c r="P4" s="13">
        <f>O4*N4</f>
        <v>28000</v>
      </c>
      <c r="Q4" s="8">
        <v>45670</v>
      </c>
    </row>
    <row r="5" spans="1:17" ht="20.100000000000001" customHeight="1" x14ac:dyDescent="0.25">
      <c r="A5" s="12">
        <v>2</v>
      </c>
      <c r="B5" s="8">
        <v>45692</v>
      </c>
      <c r="C5" s="9" t="s">
        <v>22</v>
      </c>
      <c r="D5" s="9" t="s">
        <v>14</v>
      </c>
      <c r="E5" s="10" t="s">
        <v>21</v>
      </c>
      <c r="F5" s="31">
        <v>1</v>
      </c>
      <c r="G5" s="31">
        <v>1</v>
      </c>
      <c r="H5" s="31"/>
      <c r="I5" s="32"/>
      <c r="J5" s="14">
        <v>45693</v>
      </c>
      <c r="K5" s="11"/>
      <c r="L5" s="15">
        <v>45692</v>
      </c>
      <c r="M5" s="9" t="s">
        <v>23</v>
      </c>
      <c r="N5" s="9">
        <v>2</v>
      </c>
      <c r="O5" s="13">
        <v>14000</v>
      </c>
      <c r="P5" s="13">
        <f>N5*O5</f>
        <v>28000</v>
      </c>
      <c r="Q5" s="14">
        <v>45699</v>
      </c>
    </row>
    <row r="6" spans="1:17" ht="20.100000000000001" customHeight="1" x14ac:dyDescent="0.25">
      <c r="A6" s="12">
        <v>3</v>
      </c>
      <c r="B6" s="14">
        <v>45695</v>
      </c>
      <c r="C6" s="9" t="s">
        <v>25</v>
      </c>
      <c r="D6" s="12" t="s">
        <v>15</v>
      </c>
      <c r="E6" s="16" t="s">
        <v>24</v>
      </c>
      <c r="F6" s="31"/>
      <c r="G6" s="31">
        <v>1</v>
      </c>
      <c r="H6" s="31"/>
      <c r="I6" s="32"/>
      <c r="J6" s="14">
        <v>45695</v>
      </c>
      <c r="K6" s="17"/>
      <c r="L6" s="18">
        <v>45698</v>
      </c>
      <c r="M6" s="9" t="s">
        <v>28</v>
      </c>
      <c r="N6" s="12">
        <v>1</v>
      </c>
      <c r="O6" s="19">
        <v>14000</v>
      </c>
      <c r="P6" s="19">
        <f>N6*O6</f>
        <v>14000</v>
      </c>
      <c r="Q6" s="14">
        <v>45715</v>
      </c>
    </row>
    <row r="7" spans="1:17" ht="20.100000000000001" customHeight="1" x14ac:dyDescent="0.25">
      <c r="A7" s="12">
        <v>4</v>
      </c>
      <c r="B7" s="14">
        <v>45695</v>
      </c>
      <c r="C7" s="9" t="s">
        <v>26</v>
      </c>
      <c r="D7" s="12" t="s">
        <v>15</v>
      </c>
      <c r="E7" s="16" t="s">
        <v>24</v>
      </c>
      <c r="F7" s="31">
        <v>1</v>
      </c>
      <c r="G7" s="31"/>
      <c r="H7" s="31"/>
      <c r="I7" s="32"/>
      <c r="J7" s="14">
        <v>45695</v>
      </c>
      <c r="K7" s="17"/>
      <c r="L7" s="18">
        <v>45825</v>
      </c>
      <c r="M7" s="9" t="s">
        <v>31</v>
      </c>
      <c r="N7" s="12">
        <v>1</v>
      </c>
      <c r="O7" s="19">
        <v>14000</v>
      </c>
      <c r="P7" s="19">
        <f>N7*O7</f>
        <v>14000</v>
      </c>
      <c r="Q7" s="14">
        <v>45841</v>
      </c>
    </row>
    <row r="8" spans="1:17" ht="20.100000000000001" customHeight="1" x14ac:dyDescent="0.25">
      <c r="A8" s="12">
        <v>5</v>
      </c>
      <c r="B8" s="8">
        <v>45698</v>
      </c>
      <c r="C8" s="9" t="s">
        <v>30</v>
      </c>
      <c r="D8" s="9" t="s">
        <v>17</v>
      </c>
      <c r="E8" s="10" t="s">
        <v>27</v>
      </c>
      <c r="F8" s="31">
        <v>1</v>
      </c>
      <c r="G8" s="31">
        <v>1</v>
      </c>
      <c r="H8" s="31"/>
      <c r="I8" s="31"/>
      <c r="J8" s="8">
        <v>45712</v>
      </c>
      <c r="K8" s="11"/>
      <c r="L8" s="8">
        <v>45698</v>
      </c>
      <c r="M8" s="9" t="s">
        <v>29</v>
      </c>
      <c r="N8" s="12">
        <v>2</v>
      </c>
      <c r="O8" s="13">
        <v>14000</v>
      </c>
      <c r="P8" s="13">
        <f>O8*N8</f>
        <v>28000</v>
      </c>
      <c r="Q8" s="8">
        <v>45737</v>
      </c>
    </row>
    <row r="9" spans="1:17" ht="20.100000000000001" customHeight="1" x14ac:dyDescent="0.25">
      <c r="A9" s="21"/>
      <c r="B9" s="22"/>
      <c r="C9" s="21"/>
      <c r="D9" s="21"/>
      <c r="E9" s="23"/>
      <c r="F9" s="35">
        <f>SUM(F4:F8)</f>
        <v>4</v>
      </c>
      <c r="G9" s="35">
        <f>SUM(G4:G8)</f>
        <v>4</v>
      </c>
      <c r="H9" s="35">
        <f>SUM(H4:H8)</f>
        <v>0</v>
      </c>
      <c r="I9" s="36"/>
      <c r="J9" s="22"/>
      <c r="K9" s="24"/>
      <c r="L9" s="22"/>
      <c r="M9" s="21"/>
      <c r="N9" s="21">
        <f>SUM(N4:N8)</f>
        <v>8</v>
      </c>
      <c r="O9" s="25">
        <f>SUM(O4:O8)</f>
        <v>70000</v>
      </c>
      <c r="P9" s="25">
        <f>SUM(P4:P8)</f>
        <v>112000</v>
      </c>
      <c r="Q9" s="22"/>
    </row>
    <row r="10" spans="1:17" ht="20.100000000000001" customHeight="1" x14ac:dyDescent="0.25">
      <c r="A10" s="26"/>
      <c r="B10" s="27"/>
      <c r="C10" s="26"/>
      <c r="D10" s="26"/>
      <c r="E10" s="28"/>
      <c r="F10" s="33"/>
      <c r="G10" s="33"/>
      <c r="H10" s="33"/>
      <c r="I10" s="33"/>
      <c r="J10" s="27"/>
      <c r="K10" s="29"/>
      <c r="L10" s="27"/>
      <c r="M10" s="26"/>
      <c r="N10" s="26"/>
      <c r="O10" s="30"/>
      <c r="P10" s="30"/>
      <c r="Q10" s="27"/>
    </row>
  </sheetData>
  <mergeCells count="16">
    <mergeCell ref="P2:P3"/>
    <mergeCell ref="Q2:Q3"/>
    <mergeCell ref="B1:K1"/>
    <mergeCell ref="L1:Q1"/>
    <mergeCell ref="F2:I2"/>
    <mergeCell ref="D2:D3"/>
    <mergeCell ref="C2:C3"/>
    <mergeCell ref="L2:L3"/>
    <mergeCell ref="M2:M3"/>
    <mergeCell ref="N2:N3"/>
    <mergeCell ref="O2:O3"/>
    <mergeCell ref="A1:A3"/>
    <mergeCell ref="B2:B3"/>
    <mergeCell ref="E2:E3"/>
    <mergeCell ref="K2:K3"/>
    <mergeCell ref="J2:J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TSAI</dc:creator>
  <cp:lastModifiedBy>Wilson Tsai</cp:lastModifiedBy>
  <dcterms:created xsi:type="dcterms:W3CDTF">2015-06-05T18:17:20Z</dcterms:created>
  <dcterms:modified xsi:type="dcterms:W3CDTF">2026-03-10T15:31:53Z</dcterms:modified>
</cp:coreProperties>
</file>